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651wilkening-my.sharepoint.com/personal/canyon_white_convergint_com/Documents/Documents/GitHub/DATA 3010 Python Project/"/>
    </mc:Choice>
  </mc:AlternateContent>
  <xr:revisionPtr revIDLastSave="0" documentId="8_{417E2773-B8DC-4323-9829-AEC885D3D4C9}" xr6:coauthVersionLast="47" xr6:coauthVersionMax="47" xr10:uidLastSave="{00000000-0000-0000-0000-000000000000}"/>
  <bookViews>
    <workbookView xWindow="28680" yWindow="-120" windowWidth="29040" windowHeight="15720" activeTab="1" xr2:uid="{76651B23-9EEE-4685-BE34-E17753E324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2" l="1"/>
  <c r="D9" i="2"/>
  <c r="F9" i="2" s="1"/>
  <c r="F8" i="2"/>
  <c r="F7" i="2"/>
  <c r="F6" i="2"/>
  <c r="F5" i="2"/>
</calcChain>
</file>

<file path=xl/sharedStrings.xml><?xml version="1.0" encoding="utf-8"?>
<sst xmlns="http://schemas.openxmlformats.org/spreadsheetml/2006/main" count="84" uniqueCount="54">
  <si>
    <t>Univariate Frequency Table for Degree</t>
  </si>
  <si>
    <t>counts</t>
  </si>
  <si>
    <t>degree</t>
  </si>
  <si>
    <t>Bachelor</t>
  </si>
  <si>
    <t>Graduate</t>
  </si>
  <si>
    <t>HighSchool</t>
  </si>
  <si>
    <t>JunColl</t>
  </si>
  <si>
    <t>NotHs</t>
  </si>
  <si>
    <t>percents</t>
  </si>
  <si>
    <t>polparty</t>
  </si>
  <si>
    <t>Univariate Frequency Table for Polparty</t>
  </si>
  <si>
    <t>Democrat</t>
  </si>
  <si>
    <t>Independent</t>
  </si>
  <si>
    <t>Other</t>
  </si>
  <si>
    <t>Republican</t>
  </si>
  <si>
    <t>Univariate Frequency Table for Cappun</t>
  </si>
  <si>
    <t>cappun</t>
  </si>
  <si>
    <t>Favor</t>
  </si>
  <si>
    <t>Oppose</t>
  </si>
  <si>
    <t>Two-Way Contingency Table for Owngun by Gunlaw</t>
  </si>
  <si>
    <t>gunlaw</t>
  </si>
  <si>
    <t>owngun</t>
  </si>
  <si>
    <t>total</t>
  </si>
  <si>
    <t>totals</t>
  </si>
  <si>
    <t>count</t>
  </si>
  <si>
    <t>no</t>
  </si>
  <si>
    <t>yes</t>
  </si>
  <si>
    <t>row percent</t>
  </si>
  <si>
    <t>tvhours</t>
  </si>
  <si>
    <t>age</t>
  </si>
  <si>
    <t>chldidel</t>
  </si>
  <si>
    <t>Stratified Analysis of Mean for tvhours, age, and chldidel by degree</t>
  </si>
  <si>
    <t>min</t>
  </si>
  <si>
    <t>max</t>
  </si>
  <si>
    <t>median</t>
  </si>
  <si>
    <t>mean</t>
  </si>
  <si>
    <t>std</t>
  </si>
  <si>
    <t>iqr</t>
  </si>
  <si>
    <t>90% Confidence Interval for tvhours</t>
  </si>
  <si>
    <t>(-0.9988, 7.1902)</t>
  </si>
  <si>
    <t>95% Confidence Interval for tvhours</t>
  </si>
  <si>
    <t>(-1.7867, 7.9781)</t>
  </si>
  <si>
    <t>99% Confidence Interval for tvhours</t>
  </si>
  <si>
    <t>(-3.3322, 9.5237)</t>
  </si>
  <si>
    <t>AgeRange</t>
  </si>
  <si>
    <t>25-34</t>
  </si>
  <si>
    <t>45-54</t>
  </si>
  <si>
    <t>65+</t>
  </si>
  <si>
    <t>35-44</t>
  </si>
  <si>
    <t>55-64</t>
  </si>
  <si>
    <t>18-24</t>
  </si>
  <si>
    <t>Count</t>
  </si>
  <si>
    <t>65-44</t>
  </si>
  <si>
    <t>Stratified Analysis for Means of tvhours and chldidel by AgeRange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</si>
</sst>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6" xfId="0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FC3D-7E10-42E6-8014-19F835550C74}">
  <dimension ref="A1:K12"/>
  <sheetViews>
    <sheetView zoomScale="145" zoomScaleNormal="145" workbookViewId="0">
      <selection activeCell="C9" sqref="C9"/>
    </sheetView>
  </sheetViews>
  <sheetFormatPr defaultColWidth="12.28515625" defaultRowHeight="15" x14ac:dyDescent="0.25"/>
  <sheetData>
    <row r="1" spans="1:11" x14ac:dyDescent="0.25">
      <c r="A1" s="2" t="s">
        <v>0</v>
      </c>
      <c r="B1" s="2"/>
      <c r="C1" s="2"/>
      <c r="D1" s="3"/>
      <c r="E1" s="2" t="s">
        <v>10</v>
      </c>
      <c r="F1" s="2"/>
      <c r="G1" s="2"/>
      <c r="I1" s="2" t="s">
        <v>15</v>
      </c>
      <c r="J1" s="2"/>
      <c r="K1" s="2"/>
    </row>
    <row r="2" spans="1:11" x14ac:dyDescent="0.25">
      <c r="B2" s="4" t="s">
        <v>1</v>
      </c>
      <c r="C2" s="4" t="s">
        <v>8</v>
      </c>
      <c r="F2" s="4" t="s">
        <v>1</v>
      </c>
      <c r="G2" s="4" t="s">
        <v>8</v>
      </c>
      <c r="J2" s="4" t="s">
        <v>1</v>
      </c>
      <c r="K2" s="4" t="s">
        <v>8</v>
      </c>
    </row>
    <row r="3" spans="1:11" x14ac:dyDescent="0.25">
      <c r="A3" s="6" t="s">
        <v>2</v>
      </c>
      <c r="E3" s="6" t="s">
        <v>9</v>
      </c>
      <c r="I3" s="6" t="s">
        <v>16</v>
      </c>
    </row>
    <row r="4" spans="1:11" x14ac:dyDescent="0.25">
      <c r="A4" s="6" t="s">
        <v>3</v>
      </c>
      <c r="B4" s="5">
        <v>52</v>
      </c>
      <c r="C4" s="7">
        <v>13.1</v>
      </c>
      <c r="E4" s="6" t="s">
        <v>11</v>
      </c>
      <c r="F4" s="5">
        <v>139</v>
      </c>
      <c r="G4" s="7">
        <v>35.01</v>
      </c>
      <c r="I4" s="6" t="s">
        <v>17</v>
      </c>
      <c r="J4" s="5">
        <v>294</v>
      </c>
      <c r="K4" s="7">
        <v>74.06</v>
      </c>
    </row>
    <row r="5" spans="1:11" x14ac:dyDescent="0.25">
      <c r="A5" s="6" t="s">
        <v>4</v>
      </c>
      <c r="B5" s="5">
        <v>30</v>
      </c>
      <c r="C5" s="7">
        <v>7.56</v>
      </c>
      <c r="E5" s="6" t="s">
        <v>12</v>
      </c>
      <c r="F5" s="5">
        <v>137</v>
      </c>
      <c r="G5" s="7">
        <v>34.51</v>
      </c>
      <c r="I5" s="6" t="s">
        <v>18</v>
      </c>
      <c r="J5" s="5">
        <v>103</v>
      </c>
      <c r="K5" s="7">
        <v>25.94</v>
      </c>
    </row>
    <row r="6" spans="1:11" x14ac:dyDescent="0.25">
      <c r="A6" s="6" t="s">
        <v>5</v>
      </c>
      <c r="B6" s="5">
        <v>231</v>
      </c>
      <c r="C6" s="7">
        <v>58.19</v>
      </c>
      <c r="E6" s="6" t="s">
        <v>13</v>
      </c>
      <c r="F6" s="5">
        <v>8</v>
      </c>
      <c r="G6" s="7">
        <v>2.02</v>
      </c>
      <c r="I6" s="6"/>
      <c r="J6" s="5"/>
      <c r="K6" s="7"/>
    </row>
    <row r="7" spans="1:11" x14ac:dyDescent="0.25">
      <c r="A7" s="6" t="s">
        <v>6</v>
      </c>
      <c r="B7" s="5">
        <v>28</v>
      </c>
      <c r="C7" s="7">
        <v>7.05</v>
      </c>
      <c r="E7" s="6" t="s">
        <v>14</v>
      </c>
      <c r="F7" s="5">
        <v>113</v>
      </c>
      <c r="G7" s="7">
        <v>28.46</v>
      </c>
      <c r="I7" s="6"/>
      <c r="J7" s="5"/>
      <c r="K7" s="7"/>
    </row>
    <row r="8" spans="1:11" x14ac:dyDescent="0.25">
      <c r="A8" s="6" t="s">
        <v>7</v>
      </c>
      <c r="B8" s="5">
        <v>56</v>
      </c>
      <c r="C8" s="7">
        <v>14.11</v>
      </c>
      <c r="E8" s="6"/>
      <c r="F8" s="5"/>
      <c r="G8" s="7"/>
      <c r="I8" s="6"/>
      <c r="J8" s="5"/>
      <c r="K8" s="7"/>
    </row>
    <row r="10" spans="1:11" x14ac:dyDescent="0.25">
      <c r="A10" s="6"/>
    </row>
    <row r="12" spans="1:11" x14ac:dyDescent="0.25">
      <c r="A12" s="6"/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614B-4C09-4AFF-BB9F-509A602729B8}">
  <dimension ref="B2:K70"/>
  <sheetViews>
    <sheetView tabSelected="1" topLeftCell="A48" zoomScale="120" zoomScaleNormal="120" workbookViewId="0">
      <selection activeCell="E58" sqref="E58"/>
    </sheetView>
  </sheetViews>
  <sheetFormatPr defaultColWidth="16.42578125" defaultRowHeight="15" x14ac:dyDescent="0.25"/>
  <cols>
    <col min="2" max="2" width="19.7109375" customWidth="1"/>
    <col min="3" max="3" width="20.140625" customWidth="1"/>
    <col min="4" max="4" width="18.7109375" customWidth="1"/>
  </cols>
  <sheetData>
    <row r="2" spans="2:6" x14ac:dyDescent="0.25">
      <c r="B2" s="29" t="s">
        <v>19</v>
      </c>
      <c r="C2" s="30"/>
      <c r="D2" s="30"/>
      <c r="E2" s="30"/>
      <c r="F2" s="31"/>
    </row>
    <row r="3" spans="2:6" x14ac:dyDescent="0.25">
      <c r="B3" s="18" t="s">
        <v>20</v>
      </c>
      <c r="C3" s="20"/>
      <c r="D3" s="22" t="s">
        <v>17</v>
      </c>
      <c r="E3" s="22" t="s">
        <v>18</v>
      </c>
      <c r="F3" s="10" t="s">
        <v>22</v>
      </c>
    </row>
    <row r="4" spans="2:6" x14ac:dyDescent="0.25">
      <c r="B4" s="19" t="s">
        <v>21</v>
      </c>
      <c r="C4" s="21"/>
      <c r="D4" s="24"/>
      <c r="E4" s="24"/>
      <c r="F4" s="17"/>
    </row>
    <row r="5" spans="2:6" x14ac:dyDescent="0.25">
      <c r="B5" s="14" t="s">
        <v>25</v>
      </c>
      <c r="C5" s="22" t="s">
        <v>24</v>
      </c>
      <c r="D5" s="25">
        <v>230</v>
      </c>
      <c r="E5" s="25">
        <v>27</v>
      </c>
      <c r="F5" s="10">
        <f>D5+E5</f>
        <v>257</v>
      </c>
    </row>
    <row r="6" spans="2:6" x14ac:dyDescent="0.25">
      <c r="B6" s="15"/>
      <c r="C6" s="23" t="s">
        <v>27</v>
      </c>
      <c r="D6" s="26">
        <v>0.89500000000000002</v>
      </c>
      <c r="E6" s="26">
        <v>0.105</v>
      </c>
      <c r="F6" s="11">
        <f>D6+E6</f>
        <v>1</v>
      </c>
    </row>
    <row r="7" spans="2:6" x14ac:dyDescent="0.25">
      <c r="B7" s="15" t="s">
        <v>26</v>
      </c>
      <c r="C7" s="8" t="s">
        <v>24</v>
      </c>
      <c r="D7" s="28">
        <v>97</v>
      </c>
      <c r="E7" s="28">
        <v>43</v>
      </c>
      <c r="F7" s="10">
        <f>D7+E7</f>
        <v>140</v>
      </c>
    </row>
    <row r="8" spans="2:6" x14ac:dyDescent="0.25">
      <c r="B8" s="15"/>
      <c r="C8" s="23" t="s">
        <v>27</v>
      </c>
      <c r="D8" s="26">
        <v>0.69299999999999995</v>
      </c>
      <c r="E8" s="26">
        <v>0.307</v>
      </c>
      <c r="F8" s="11">
        <f>D8+E8</f>
        <v>1</v>
      </c>
    </row>
    <row r="9" spans="2:6" x14ac:dyDescent="0.25">
      <c r="B9" s="32" t="s">
        <v>23</v>
      </c>
      <c r="C9" s="33" t="s">
        <v>24</v>
      </c>
      <c r="D9" s="33">
        <f>D5+D7</f>
        <v>327</v>
      </c>
      <c r="E9" s="33">
        <f>E5+E7</f>
        <v>70</v>
      </c>
      <c r="F9" s="34">
        <f>D9+E9</f>
        <v>397</v>
      </c>
    </row>
    <row r="11" spans="2:6" x14ac:dyDescent="0.25">
      <c r="B11" s="40" t="s">
        <v>31</v>
      </c>
      <c r="C11" s="40"/>
      <c r="D11" s="40"/>
      <c r="E11" s="40"/>
    </row>
    <row r="12" spans="2:6" x14ac:dyDescent="0.25">
      <c r="B12" s="14" t="s">
        <v>2</v>
      </c>
      <c r="C12" s="43" t="s">
        <v>28</v>
      </c>
      <c r="D12" s="41" t="s">
        <v>29</v>
      </c>
      <c r="E12" s="13" t="s">
        <v>30</v>
      </c>
    </row>
    <row r="13" spans="2:6" x14ac:dyDescent="0.25">
      <c r="B13" s="16"/>
      <c r="C13" s="44"/>
      <c r="D13" s="42"/>
      <c r="E13" s="12"/>
    </row>
    <row r="14" spans="2:6" x14ac:dyDescent="0.25">
      <c r="B14" s="27" t="s">
        <v>3</v>
      </c>
      <c r="C14" s="7">
        <v>2.08</v>
      </c>
      <c r="D14" s="7">
        <v>48.48</v>
      </c>
      <c r="E14" s="38">
        <v>2.25</v>
      </c>
    </row>
    <row r="15" spans="2:6" x14ac:dyDescent="0.25">
      <c r="B15" s="27" t="s">
        <v>4</v>
      </c>
      <c r="C15" s="7">
        <v>2.2000000000000002</v>
      </c>
      <c r="D15" s="7">
        <v>52.2</v>
      </c>
      <c r="E15" s="38">
        <v>2.4700000000000002</v>
      </c>
    </row>
    <row r="16" spans="2:6" x14ac:dyDescent="0.25">
      <c r="B16" s="27" t="s">
        <v>5</v>
      </c>
      <c r="C16" s="7">
        <v>3.42</v>
      </c>
      <c r="D16" s="7">
        <v>43.67</v>
      </c>
      <c r="E16" s="38">
        <v>2.56</v>
      </c>
    </row>
    <row r="17" spans="2:11" x14ac:dyDescent="0.25">
      <c r="B17" s="27" t="s">
        <v>6</v>
      </c>
      <c r="C17" s="7">
        <v>2.29</v>
      </c>
      <c r="D17" s="7">
        <v>43.61</v>
      </c>
      <c r="E17" s="38">
        <v>2.21</v>
      </c>
    </row>
    <row r="18" spans="2:11" x14ac:dyDescent="0.25">
      <c r="B18" s="23" t="s">
        <v>7</v>
      </c>
      <c r="C18" s="35">
        <v>3.61</v>
      </c>
      <c r="D18" s="36">
        <v>53.91</v>
      </c>
      <c r="E18" s="39">
        <v>2.73</v>
      </c>
    </row>
    <row r="23" spans="2:11" x14ac:dyDescent="0.25">
      <c r="B23" s="14" t="s">
        <v>2</v>
      </c>
      <c r="C23" s="43" t="s">
        <v>32</v>
      </c>
      <c r="D23" s="41" t="s">
        <v>33</v>
      </c>
      <c r="E23" s="41" t="s">
        <v>34</v>
      </c>
      <c r="F23" s="41" t="s">
        <v>24</v>
      </c>
      <c r="G23" s="41" t="s">
        <v>35</v>
      </c>
      <c r="H23" s="41" t="s">
        <v>36</v>
      </c>
      <c r="I23" s="13" t="s">
        <v>37</v>
      </c>
      <c r="J23" s="45"/>
      <c r="K23" s="45"/>
    </row>
    <row r="24" spans="2:11" x14ac:dyDescent="0.25">
      <c r="B24" s="16"/>
      <c r="C24" s="44"/>
      <c r="D24" s="42"/>
      <c r="E24" s="42"/>
      <c r="F24" s="42"/>
      <c r="G24" s="42"/>
      <c r="H24" s="42"/>
      <c r="I24" s="12"/>
    </row>
    <row r="25" spans="2:11" x14ac:dyDescent="0.25">
      <c r="B25" s="27" t="s">
        <v>3</v>
      </c>
      <c r="C25" s="5">
        <v>0</v>
      </c>
      <c r="D25" s="5">
        <v>6</v>
      </c>
      <c r="E25" s="5">
        <v>2</v>
      </c>
      <c r="F25" s="5">
        <v>52</v>
      </c>
      <c r="G25" s="7">
        <v>2.08</v>
      </c>
      <c r="H25" s="5">
        <v>1.19</v>
      </c>
      <c r="I25" s="46">
        <v>2</v>
      </c>
    </row>
    <row r="26" spans="2:11" x14ac:dyDescent="0.25">
      <c r="B26" s="27" t="s">
        <v>4</v>
      </c>
      <c r="C26" s="5">
        <v>0</v>
      </c>
      <c r="D26" s="5">
        <v>8</v>
      </c>
      <c r="E26" s="5">
        <v>2</v>
      </c>
      <c r="F26" s="5">
        <v>30</v>
      </c>
      <c r="G26" s="7">
        <v>2.2000000000000002</v>
      </c>
      <c r="H26" s="5">
        <v>1.58</v>
      </c>
      <c r="I26" s="46">
        <v>2</v>
      </c>
    </row>
    <row r="27" spans="2:11" x14ac:dyDescent="0.25">
      <c r="B27" s="27" t="s">
        <v>5</v>
      </c>
      <c r="C27" s="5">
        <v>0</v>
      </c>
      <c r="D27" s="5">
        <v>20</v>
      </c>
      <c r="E27" s="5">
        <v>3</v>
      </c>
      <c r="F27" s="5">
        <v>231</v>
      </c>
      <c r="G27" s="7">
        <v>3.42</v>
      </c>
      <c r="H27" s="5">
        <v>2.42</v>
      </c>
      <c r="I27" s="46">
        <v>2</v>
      </c>
    </row>
    <row r="28" spans="2:11" x14ac:dyDescent="0.25">
      <c r="B28" s="27" t="s">
        <v>6</v>
      </c>
      <c r="C28" s="5">
        <v>0</v>
      </c>
      <c r="D28" s="5">
        <v>12</v>
      </c>
      <c r="E28" s="5">
        <v>2</v>
      </c>
      <c r="F28" s="5">
        <v>28</v>
      </c>
      <c r="G28" s="7">
        <v>2.29</v>
      </c>
      <c r="H28" s="5">
        <v>2.21</v>
      </c>
      <c r="I28" s="46">
        <v>2</v>
      </c>
    </row>
    <row r="29" spans="2:11" x14ac:dyDescent="0.25">
      <c r="B29" s="23" t="s">
        <v>7</v>
      </c>
      <c r="C29" s="47">
        <v>0</v>
      </c>
      <c r="D29" s="9">
        <v>22</v>
      </c>
      <c r="E29" s="9">
        <v>3</v>
      </c>
      <c r="F29" s="9">
        <v>56</v>
      </c>
      <c r="G29" s="36">
        <v>3.61</v>
      </c>
      <c r="H29" s="9">
        <v>3.54</v>
      </c>
      <c r="I29" s="37">
        <v>4</v>
      </c>
    </row>
    <row r="32" spans="2:11" x14ac:dyDescent="0.25">
      <c r="B32" s="48" t="s">
        <v>38</v>
      </c>
      <c r="C32" s="48"/>
    </row>
    <row r="33" spans="2:3" x14ac:dyDescent="0.25">
      <c r="B33" s="49" t="s">
        <v>39</v>
      </c>
      <c r="C33" s="49"/>
    </row>
    <row r="34" spans="2:3" x14ac:dyDescent="0.25">
      <c r="B34" s="49"/>
      <c r="C34" s="49"/>
    </row>
    <row r="36" spans="2:3" x14ac:dyDescent="0.25">
      <c r="B36" s="50" t="s">
        <v>40</v>
      </c>
      <c r="C36" s="50"/>
    </row>
    <row r="37" spans="2:3" x14ac:dyDescent="0.25">
      <c r="B37" s="49" t="s">
        <v>41</v>
      </c>
      <c r="C37" s="49"/>
    </row>
    <row r="38" spans="2:3" x14ac:dyDescent="0.25">
      <c r="B38" s="49"/>
      <c r="C38" s="49"/>
    </row>
    <row r="40" spans="2:3" x14ac:dyDescent="0.25">
      <c r="B40" s="50" t="s">
        <v>42</v>
      </c>
      <c r="C40" s="50"/>
    </row>
    <row r="41" spans="2:3" x14ac:dyDescent="0.25">
      <c r="B41" s="49" t="s">
        <v>43</v>
      </c>
      <c r="C41" s="49"/>
    </row>
    <row r="42" spans="2:3" x14ac:dyDescent="0.25">
      <c r="B42" s="49"/>
      <c r="C42" s="49"/>
    </row>
    <row r="52" spans="2:4" x14ac:dyDescent="0.25">
      <c r="B52" s="1" t="s">
        <v>44</v>
      </c>
      <c r="C52" s="1" t="s">
        <v>51</v>
      </c>
      <c r="D52" s="1"/>
    </row>
    <row r="53" spans="2:4" x14ac:dyDescent="0.25">
      <c r="B53" s="1" t="s">
        <v>45</v>
      </c>
      <c r="C53">
        <v>80</v>
      </c>
    </row>
    <row r="54" spans="2:4" x14ac:dyDescent="0.25">
      <c r="B54" s="1" t="s">
        <v>46</v>
      </c>
      <c r="C54">
        <v>72</v>
      </c>
    </row>
    <row r="55" spans="2:4" x14ac:dyDescent="0.25">
      <c r="B55" s="1" t="s">
        <v>47</v>
      </c>
      <c r="C55">
        <v>71</v>
      </c>
    </row>
    <row r="56" spans="2:4" x14ac:dyDescent="0.25">
      <c r="B56" s="1" t="s">
        <v>48</v>
      </c>
      <c r="C56">
        <v>71</v>
      </c>
    </row>
    <row r="57" spans="2:4" x14ac:dyDescent="0.25">
      <c r="B57" s="1" t="s">
        <v>49</v>
      </c>
      <c r="C57">
        <v>55</v>
      </c>
    </row>
    <row r="58" spans="2:4" x14ac:dyDescent="0.25">
      <c r="B58" s="1" t="s">
        <v>50</v>
      </c>
      <c r="C58">
        <v>44</v>
      </c>
    </row>
    <row r="62" spans="2:4" x14ac:dyDescent="0.25">
      <c r="B62" s="50" t="s">
        <v>53</v>
      </c>
      <c r="C62" s="50"/>
      <c r="D62" s="50"/>
    </row>
    <row r="63" spans="2:4" x14ac:dyDescent="0.25">
      <c r="B63" s="14" t="s">
        <v>44</v>
      </c>
      <c r="C63" s="43" t="s">
        <v>28</v>
      </c>
      <c r="D63" s="13" t="s">
        <v>30</v>
      </c>
    </row>
    <row r="64" spans="2:4" x14ac:dyDescent="0.25">
      <c r="B64" s="16"/>
      <c r="C64" s="44"/>
      <c r="D64" s="12"/>
    </row>
    <row r="65" spans="2:4" x14ac:dyDescent="0.25">
      <c r="B65" s="27" t="s">
        <v>50</v>
      </c>
      <c r="C65" s="7">
        <v>3.3</v>
      </c>
      <c r="D65" s="51">
        <v>2.64</v>
      </c>
    </row>
    <row r="66" spans="2:4" x14ac:dyDescent="0.25">
      <c r="B66" s="27" t="s">
        <v>45</v>
      </c>
      <c r="C66" s="7">
        <v>2.88</v>
      </c>
      <c r="D66" s="46">
        <v>2.33</v>
      </c>
    </row>
    <row r="67" spans="2:4" x14ac:dyDescent="0.25">
      <c r="B67" s="27" t="s">
        <v>52</v>
      </c>
      <c r="C67" s="7">
        <v>2.69</v>
      </c>
      <c r="D67" s="46">
        <v>2.38</v>
      </c>
    </row>
    <row r="68" spans="2:4" x14ac:dyDescent="0.25">
      <c r="B68" s="27" t="s">
        <v>46</v>
      </c>
      <c r="C68" s="7">
        <v>2.9</v>
      </c>
      <c r="D68" s="46">
        <v>2.4300000000000002</v>
      </c>
    </row>
    <row r="69" spans="2:4" x14ac:dyDescent="0.25">
      <c r="B69" s="27" t="s">
        <v>49</v>
      </c>
      <c r="C69" s="7">
        <v>3.24</v>
      </c>
      <c r="D69" s="46">
        <v>2.4500000000000002</v>
      </c>
    </row>
    <row r="70" spans="2:4" x14ac:dyDescent="0.25">
      <c r="B70" s="23" t="s">
        <v>47</v>
      </c>
      <c r="C70" s="35">
        <v>3.69</v>
      </c>
      <c r="D70" s="37">
        <v>2.87</v>
      </c>
    </row>
  </sheetData>
  <mergeCells count="28">
    <mergeCell ref="B37:C38"/>
    <mergeCell ref="B36:C36"/>
    <mergeCell ref="B40:C40"/>
    <mergeCell ref="B41:C42"/>
    <mergeCell ref="C63:C64"/>
    <mergeCell ref="D63:D64"/>
    <mergeCell ref="B63:B64"/>
    <mergeCell ref="B62:D62"/>
    <mergeCell ref="F23:F24"/>
    <mergeCell ref="G23:G24"/>
    <mergeCell ref="H23:H24"/>
    <mergeCell ref="I23:I24"/>
    <mergeCell ref="B32:C32"/>
    <mergeCell ref="B33:C34"/>
    <mergeCell ref="C12:C13"/>
    <mergeCell ref="D12:D13"/>
    <mergeCell ref="E12:E13"/>
    <mergeCell ref="B12:B13"/>
    <mergeCell ref="B23:B24"/>
    <mergeCell ref="C23:C24"/>
    <mergeCell ref="D23:D24"/>
    <mergeCell ref="E23:E24"/>
    <mergeCell ref="B2:F2"/>
    <mergeCell ref="B3:C3"/>
    <mergeCell ref="B4:C4"/>
    <mergeCell ref="B5:B6"/>
    <mergeCell ref="B7:B8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Convergint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Canyon White</dc:creator>
  <cp:lastModifiedBy>Canyon White</cp:lastModifiedBy>
  <dcterms:created xsi:type="dcterms:W3CDTF">2026-07-15T13:15:53Z</dcterms:created>
  <dcterms:modified xsi:type="dcterms:W3CDTF">2026-07-15T20:13:29Z</dcterms:modified>
</cp:coreProperties>
</file>